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iaprisco/Desktop/Università/Embedded/PRISCO_2046234_PROGETTO_DNA_SEQUENCE 22.11.14/"/>
    </mc:Choice>
  </mc:AlternateContent>
  <xr:revisionPtr revIDLastSave="0" documentId="8_{79623313-BB18-8F4A-91AC-CC6BEE51E2B1}" xr6:coauthVersionLast="47" xr6:coauthVersionMax="47" xr10:uidLastSave="{00000000-0000-0000-0000-000000000000}"/>
  <bookViews>
    <workbookView xWindow="0" yWindow="760" windowWidth="29400" windowHeight="16720" xr2:uid="{D07D78E3-DD60-FB47-A900-5C8BAB93B3F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R23" i="1"/>
  <c r="G7" i="1"/>
  <c r="I5" i="1"/>
  <c r="H5" i="1"/>
  <c r="L17" i="1"/>
  <c r="R24" i="1" s="1"/>
  <c r="N17" i="1"/>
  <c r="T24" i="1" s="1"/>
  <c r="M17" i="1"/>
  <c r="S24" i="1" s="1"/>
  <c r="M28" i="1"/>
  <c r="M27" i="1"/>
  <c r="H28" i="1"/>
  <c r="H27" i="1"/>
  <c r="N18" i="1"/>
  <c r="N16" i="1"/>
  <c r="N15" i="1"/>
  <c r="M18" i="1"/>
  <c r="M16" i="1"/>
  <c r="M15" i="1"/>
  <c r="L18" i="1"/>
  <c r="L16" i="1"/>
  <c r="L15" i="1"/>
  <c r="N28" i="1"/>
  <c r="N27" i="1"/>
  <c r="N25" i="1"/>
  <c r="M26" i="1"/>
  <c r="S25" i="1" s="1"/>
  <c r="M25" i="1"/>
  <c r="L28" i="1"/>
  <c r="L27" i="1"/>
  <c r="L26" i="1"/>
  <c r="R25" i="1" s="1"/>
  <c r="L25" i="1"/>
  <c r="N26" i="1"/>
  <c r="T25" i="1" s="1"/>
  <c r="I28" i="1"/>
  <c r="G28" i="1"/>
  <c r="I27" i="1"/>
  <c r="G27" i="1"/>
  <c r="I26" i="1"/>
  <c r="H26" i="1"/>
  <c r="G26" i="1"/>
  <c r="I25" i="1"/>
  <c r="H25" i="1"/>
  <c r="G25" i="1"/>
  <c r="I18" i="1"/>
  <c r="H18" i="1"/>
  <c r="G18" i="1"/>
  <c r="I17" i="1"/>
  <c r="H17" i="1"/>
  <c r="G17" i="1"/>
  <c r="I16" i="1"/>
  <c r="H16" i="1"/>
  <c r="G16" i="1"/>
  <c r="I15" i="1"/>
  <c r="H15" i="1"/>
  <c r="G15" i="1"/>
  <c r="G8" i="1"/>
  <c r="H8" i="1"/>
  <c r="I8" i="1"/>
  <c r="N8" i="1"/>
  <c r="T23" i="1" s="1"/>
  <c r="N7" i="1"/>
  <c r="N6" i="1"/>
  <c r="M8" i="1"/>
  <c r="M7" i="1"/>
  <c r="M6" i="1"/>
  <c r="N5" i="1"/>
  <c r="M5" i="1"/>
  <c r="L8" i="1"/>
  <c r="L7" i="1"/>
  <c r="L6" i="1"/>
  <c r="L5" i="1"/>
  <c r="I7" i="1"/>
  <c r="I6" i="1"/>
  <c r="H7" i="1"/>
  <c r="H6" i="1"/>
  <c r="G6" i="1"/>
  <c r="G5" i="1"/>
  <c r="N35" i="1"/>
  <c r="N37" i="1"/>
  <c r="N36" i="1"/>
  <c r="M37" i="1"/>
  <c r="M36" i="1"/>
  <c r="M35" i="1"/>
  <c r="L37" i="1"/>
  <c r="L36" i="1"/>
  <c r="L35" i="1"/>
</calcChain>
</file>

<file path=xl/sharedStrings.xml><?xml version="1.0" encoding="utf-8"?>
<sst xmlns="http://schemas.openxmlformats.org/spreadsheetml/2006/main" count="57" uniqueCount="23">
  <si>
    <t>test 1</t>
  </si>
  <si>
    <t>test 2</t>
  </si>
  <si>
    <t>test 3</t>
  </si>
  <si>
    <t>speedup (Tseriale / Tparallelo)</t>
  </si>
  <si>
    <t>1 (serial)</t>
  </si>
  <si>
    <t>MPI+OMP version</t>
  </si>
  <si>
    <t>numero processi (1 thread)</t>
  </si>
  <si>
    <t>test 3: 167000 0.35 0.2 0.25 90000 7500 2500 90000 7500 2500 50 100 M 4353435</t>
  </si>
  <si>
    <t>test 2: 83500 0.35 0.2 0.25 90000 7500 2500 90000 7500 2500 50 100 M 4353435</t>
  </si>
  <si>
    <t>numero processi (2 thread)</t>
  </si>
  <si>
    <t>numero processi (4 thread)</t>
  </si>
  <si>
    <t>test 1: 40000 0.35 0.2 0.25 50000 1250 1250 50000 1250 1250 50 100 M 4353435</t>
  </si>
  <si>
    <t>CUDA version</t>
  </si>
  <si>
    <t>speedup (Tseriale / Tparallelo) versione 1 thread</t>
  </si>
  <si>
    <t>efficienza (Tseriale / (n * Tparalelo n)) versione 4 thread</t>
  </si>
  <si>
    <t>efficienza (Tseriale / (n * Tparalelo n)) versione 1 thread</t>
  </si>
  <si>
    <t>speedup (Tseriale / Tparallelo) versione 2 thread</t>
  </si>
  <si>
    <t>efficienza (Tseriale / (n * Tparalelo n)) versione 2 thread</t>
  </si>
  <si>
    <t>speedup (Tseriale / Tparallelo) versione 4 thread</t>
  </si>
  <si>
    <t>efficienza (Tseriale / (n * Tparalelo n))</t>
  </si>
  <si>
    <t>2 thread e 4 processi</t>
  </si>
  <si>
    <t>1 thread e 8 processi</t>
  </si>
  <si>
    <t>4 thread e 2 processi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</si>
</sst>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#,##0.00000"/>
    <numFmt numFmtId="166" formatCode="#,##0.000000"/>
    <numFmt numFmtId="167" formatCode="0.00000"/>
  </numFmts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D87F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D87F"/>
      <color rgb="FFFFF8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733D6-75C4-FF43-A29A-E19F1D27990C}">
  <dimension ref="A2:T69"/>
  <sheetViews>
    <sheetView tabSelected="1" topLeftCell="D2" zoomScale="106" workbookViewId="0">
      <selection activeCell="L17" sqref="L17"/>
    </sheetView>
  </sheetViews>
  <sheetFormatPr baseColWidth="10" defaultRowHeight="16" x14ac:dyDescent="0.2"/>
  <cols>
    <col min="1" max="1" width="23.1640625" bestFit="1" customWidth="1"/>
    <col min="2" max="3" width="71.5" bestFit="1" customWidth="1"/>
    <col min="4" max="4" width="72.6640625" bestFit="1" customWidth="1"/>
    <col min="5" max="5" width="14.1640625" bestFit="1" customWidth="1"/>
    <col min="6" max="6" width="12.5" customWidth="1"/>
    <col min="7" max="8" width="12.6640625" customWidth="1"/>
    <col min="9" max="11" width="12.5" customWidth="1"/>
    <col min="12" max="14" width="12.6640625" bestFit="1" customWidth="1"/>
    <col min="15" max="16" width="12.5" customWidth="1"/>
    <col min="17" max="17" width="17.83203125" bestFit="1" customWidth="1"/>
    <col min="18" max="19" width="12.5" customWidth="1"/>
  </cols>
  <sheetData>
    <row r="2" spans="1:14" x14ac:dyDescent="0.2">
      <c r="D2" s="1"/>
    </row>
    <row r="3" spans="1:14" x14ac:dyDescent="0.2">
      <c r="A3" s="20" t="s">
        <v>5</v>
      </c>
      <c r="B3" s="20"/>
      <c r="C3" s="20"/>
      <c r="D3" s="20"/>
      <c r="F3" s="19" t="s">
        <v>13</v>
      </c>
      <c r="G3" s="19"/>
      <c r="H3" s="19"/>
      <c r="I3" s="19"/>
      <c r="J3" s="1"/>
      <c r="K3" s="19" t="s">
        <v>15</v>
      </c>
      <c r="L3" s="19"/>
      <c r="M3" s="19"/>
      <c r="N3" s="19"/>
    </row>
    <row r="4" spans="1:14" x14ac:dyDescent="0.2">
      <c r="A4" s="5" t="s">
        <v>6</v>
      </c>
      <c r="B4" s="6" t="s">
        <v>11</v>
      </c>
      <c r="C4" s="6" t="s">
        <v>8</v>
      </c>
      <c r="D4" s="6" t="s">
        <v>7</v>
      </c>
      <c r="F4" s="2"/>
      <c r="G4" s="2" t="s">
        <v>0</v>
      </c>
      <c r="H4" s="2" t="s">
        <v>1</v>
      </c>
      <c r="I4" s="2" t="s">
        <v>2</v>
      </c>
      <c r="J4" s="1"/>
      <c r="K4" s="2"/>
      <c r="L4" s="2" t="s">
        <v>0</v>
      </c>
      <c r="M4" s="2" t="s">
        <v>1</v>
      </c>
      <c r="N4" s="2" t="s">
        <v>2</v>
      </c>
    </row>
    <row r="5" spans="1:14" x14ac:dyDescent="0.2">
      <c r="A5" s="5" t="s">
        <v>4</v>
      </c>
      <c r="B5" s="4">
        <v>10.816420000000001</v>
      </c>
      <c r="C5" s="12">
        <v>45.142560000000003</v>
      </c>
      <c r="D5" s="12">
        <v>93.929698999999999</v>
      </c>
      <c r="F5" s="2">
        <v>1</v>
      </c>
      <c r="G5" s="3">
        <f>B5/B6</f>
        <v>0.95950174554941459</v>
      </c>
      <c r="H5" s="3">
        <f>C5/C6</f>
        <v>0.9779231952263765</v>
      </c>
      <c r="I5" s="3">
        <f>D5/D6</f>
        <v>0.99906193389101017</v>
      </c>
      <c r="J5" s="1"/>
      <c r="K5" s="2">
        <v>1</v>
      </c>
      <c r="L5" s="3">
        <f>B5/(A6*B6)</f>
        <v>0.95950174554941459</v>
      </c>
      <c r="M5" s="3">
        <f>C5/(A6*C6)</f>
        <v>0.9779231952263765</v>
      </c>
      <c r="N5" s="3">
        <f>D5/(A6*D6)</f>
        <v>0.99906193389101017</v>
      </c>
    </row>
    <row r="6" spans="1:14" x14ac:dyDescent="0.2">
      <c r="A6" s="5">
        <v>1</v>
      </c>
      <c r="B6" s="4">
        <v>11.272955</v>
      </c>
      <c r="C6" s="12">
        <v>46.161662</v>
      </c>
      <c r="D6" s="12">
        <v>94.017893999999998</v>
      </c>
      <c r="F6" s="2">
        <v>2</v>
      </c>
      <c r="G6" s="3">
        <f>B5/B7</f>
        <v>1.92058163522227</v>
      </c>
      <c r="H6" s="3">
        <f>C5/C7</f>
        <v>1.9508328123052627</v>
      </c>
      <c r="I6" s="3">
        <f>D5/D7</f>
        <v>1.9981299885470387</v>
      </c>
      <c r="J6" s="1"/>
      <c r="K6" s="2">
        <v>2</v>
      </c>
      <c r="L6" s="3">
        <f>B5/(A7*B7)</f>
        <v>0.96029081761113499</v>
      </c>
      <c r="M6" s="3">
        <f>C5/(A7*C7)</f>
        <v>0.97541640615263137</v>
      </c>
      <c r="N6" s="3">
        <f>D5/(A7*D7)</f>
        <v>0.99906499427351936</v>
      </c>
    </row>
    <row r="7" spans="1:14" x14ac:dyDescent="0.2">
      <c r="A7" s="5">
        <v>2</v>
      </c>
      <c r="B7" s="4">
        <v>5.6318460000000004</v>
      </c>
      <c r="C7" s="12">
        <v>23.140148</v>
      </c>
      <c r="D7" s="12">
        <v>47.008803</v>
      </c>
      <c r="F7" s="2">
        <v>4</v>
      </c>
      <c r="G7" s="3">
        <f>B5/B8</f>
        <v>3.8334498752298796</v>
      </c>
      <c r="H7" s="3">
        <f>C5/C8</f>
        <v>3.8900858846750603</v>
      </c>
      <c r="I7" s="3">
        <f>D5/D8</f>
        <v>3.9895905459865393</v>
      </c>
      <c r="J7" s="1"/>
      <c r="K7" s="2">
        <v>4</v>
      </c>
      <c r="L7" s="3">
        <f>B5/(A8*B8)</f>
        <v>0.95836246880746989</v>
      </c>
      <c r="M7" s="3">
        <f>C5/(A8*C8)</f>
        <v>0.97252147116876508</v>
      </c>
      <c r="N7" s="3">
        <f>D5/(A8*D8)</f>
        <v>0.99739763649663482</v>
      </c>
    </row>
    <row r="8" spans="1:14" x14ac:dyDescent="0.2">
      <c r="A8" s="5">
        <v>4</v>
      </c>
      <c r="B8" s="4">
        <v>2.8215889999999999</v>
      </c>
      <c r="C8" s="12">
        <v>11.604514999999999</v>
      </c>
      <c r="D8" s="12">
        <v>23.543693999999999</v>
      </c>
      <c r="F8" s="2">
        <v>8</v>
      </c>
      <c r="G8" s="3">
        <f>B5/B9</f>
        <v>6.6205766092652647</v>
      </c>
      <c r="H8" s="3">
        <f>C5/C9</f>
        <v>7.7185610436188536</v>
      </c>
      <c r="I8" s="3">
        <f>D5/D9</f>
        <v>7.9507587187971085</v>
      </c>
      <c r="J8" s="1"/>
      <c r="K8" s="2">
        <v>8</v>
      </c>
      <c r="L8" s="3">
        <f>B5/(A9*B9)</f>
        <v>0.82757207615815809</v>
      </c>
      <c r="M8" s="3">
        <f>C5/(A9*C9)</f>
        <v>0.96482013045235671</v>
      </c>
      <c r="N8" s="3">
        <f>D5/(A9*D9)</f>
        <v>0.99384483984963856</v>
      </c>
    </row>
    <row r="9" spans="1:14" x14ac:dyDescent="0.2">
      <c r="A9" s="5">
        <v>8</v>
      </c>
      <c r="B9" s="4">
        <v>1.633758</v>
      </c>
      <c r="C9" s="12">
        <v>5.8485719999999999</v>
      </c>
      <c r="D9" s="12">
        <v>11.813929</v>
      </c>
      <c r="F9" s="1"/>
      <c r="G9" s="1"/>
      <c r="H9" s="1"/>
      <c r="I9" s="1"/>
      <c r="K9" s="1"/>
      <c r="L9" s="1"/>
      <c r="M9" s="1"/>
      <c r="N9" s="1"/>
    </row>
    <row r="10" spans="1:14" x14ac:dyDescent="0.2">
      <c r="F10" s="1"/>
      <c r="G10" s="1"/>
      <c r="H10" s="1"/>
      <c r="I10" s="1"/>
      <c r="K10" s="1"/>
      <c r="L10" s="1"/>
      <c r="M10" s="1"/>
      <c r="N10" s="1"/>
    </row>
    <row r="11" spans="1:14" x14ac:dyDescent="0.2">
      <c r="A11" s="1"/>
      <c r="B11" s="7"/>
      <c r="C11" s="7"/>
      <c r="D11" s="7"/>
    </row>
    <row r="12" spans="1:14" x14ac:dyDescent="0.2">
      <c r="A12" s="1"/>
      <c r="B12" s="7"/>
      <c r="C12" s="7"/>
      <c r="D12" s="7"/>
      <c r="F12" s="1"/>
      <c r="G12" s="1"/>
      <c r="H12" s="1"/>
    </row>
    <row r="13" spans="1:14" x14ac:dyDescent="0.2">
      <c r="A13" s="20" t="s">
        <v>5</v>
      </c>
      <c r="B13" s="20"/>
      <c r="C13" s="20"/>
      <c r="D13" s="20"/>
      <c r="F13" s="19" t="s">
        <v>16</v>
      </c>
      <c r="G13" s="19"/>
      <c r="H13" s="19"/>
      <c r="I13" s="19"/>
      <c r="J13" s="1"/>
      <c r="K13" s="19" t="s">
        <v>17</v>
      </c>
      <c r="L13" s="19"/>
      <c r="M13" s="19"/>
      <c r="N13" s="19"/>
    </row>
    <row r="14" spans="1:14" x14ac:dyDescent="0.2">
      <c r="A14" s="5" t="s">
        <v>9</v>
      </c>
      <c r="B14" s="6" t="s">
        <v>11</v>
      </c>
      <c r="C14" s="6" t="s">
        <v>8</v>
      </c>
      <c r="D14" s="6" t="s">
        <v>7</v>
      </c>
      <c r="F14" s="2"/>
      <c r="G14" s="2" t="s">
        <v>0</v>
      </c>
      <c r="H14" s="2" t="s">
        <v>1</v>
      </c>
      <c r="I14" s="2" t="s">
        <v>2</v>
      </c>
      <c r="J14" s="1"/>
      <c r="K14" s="2"/>
      <c r="L14" s="2" t="s">
        <v>0</v>
      </c>
      <c r="M14" s="2" t="s">
        <v>1</v>
      </c>
      <c r="N14" s="2" t="s">
        <v>2</v>
      </c>
    </row>
    <row r="15" spans="1:14" x14ac:dyDescent="0.2">
      <c r="A15" s="5" t="s">
        <v>4</v>
      </c>
      <c r="B15" s="4">
        <v>10.816420000000001</v>
      </c>
      <c r="C15" s="12">
        <v>45.142560000000003</v>
      </c>
      <c r="D15" s="12">
        <v>93.929698999999999</v>
      </c>
      <c r="F15" s="2">
        <v>1</v>
      </c>
      <c r="G15" s="3">
        <f>B15/B16</f>
        <v>1.5939198797533174</v>
      </c>
      <c r="H15" s="3">
        <f>C15/C16</f>
        <v>1.6250413526892118</v>
      </c>
      <c r="I15" s="3">
        <f>D15/D16</f>
        <v>1.6391985691162447</v>
      </c>
      <c r="J15" s="1"/>
      <c r="K15" s="2">
        <v>1</v>
      </c>
      <c r="L15" s="3">
        <f>B15/(A16*B16*2)</f>
        <v>0.7969599398766587</v>
      </c>
      <c r="M15" s="3">
        <f>C15/(A16*C16*2)</f>
        <v>0.8125206763446059</v>
      </c>
      <c r="N15" s="3">
        <f>D15/(A16*D16*2)</f>
        <v>0.81959928455812237</v>
      </c>
    </row>
    <row r="16" spans="1:14" x14ac:dyDescent="0.2">
      <c r="A16" s="5">
        <v>1</v>
      </c>
      <c r="B16" s="4">
        <v>6.7860500000000004</v>
      </c>
      <c r="C16" s="12">
        <v>27.779330000000002</v>
      </c>
      <c r="D16" s="14">
        <v>57.302208999999998</v>
      </c>
      <c r="F16" s="2">
        <v>2</v>
      </c>
      <c r="G16" s="3">
        <f>B15/B17</f>
        <v>3.8402222811582569</v>
      </c>
      <c r="H16" s="3">
        <f>C15/C17</f>
        <v>3.6257989316949146</v>
      </c>
      <c r="I16" s="3">
        <f>D15/D17</f>
        <v>3.9376704552909896</v>
      </c>
      <c r="J16" s="1"/>
      <c r="K16" s="2">
        <v>2</v>
      </c>
      <c r="L16" s="3">
        <f>B15/(A17*B17*2)</f>
        <v>0.96005557028956423</v>
      </c>
      <c r="M16" s="3">
        <f>C15/(A17*C17*2)</f>
        <v>0.90644973292372866</v>
      </c>
      <c r="N16" s="3">
        <f>D15/(A17*D17*2)</f>
        <v>0.98441761382274739</v>
      </c>
    </row>
    <row r="17" spans="1:20" x14ac:dyDescent="0.2">
      <c r="A17" s="5">
        <v>2</v>
      </c>
      <c r="B17" s="4">
        <v>2.8166129999999998</v>
      </c>
      <c r="C17" s="12">
        <v>12.450376</v>
      </c>
      <c r="D17" s="14">
        <v>23.854129</v>
      </c>
      <c r="F17" s="2">
        <v>4</v>
      </c>
      <c r="G17" s="3">
        <f>B15/B18</f>
        <v>7.4967009143180316</v>
      </c>
      <c r="H17" s="3">
        <f>C15/C18</f>
        <v>7.3649700188975658</v>
      </c>
      <c r="I17" s="3">
        <f>D15/D18</f>
        <v>7.4896373482532255</v>
      </c>
      <c r="J17" s="1"/>
      <c r="K17" s="2">
        <v>4</v>
      </c>
      <c r="L17" s="3">
        <f>B15/(A18*B18*2)</f>
        <v>0.93708761428975396</v>
      </c>
      <c r="M17" s="3">
        <f>C15/(A18*C18*2)</f>
        <v>0.92062125236219572</v>
      </c>
      <c r="N17" s="3">
        <f>D15/(A18*D18*2)</f>
        <v>0.93620466853165318</v>
      </c>
    </row>
    <row r="18" spans="1:20" x14ac:dyDescent="0.2">
      <c r="A18" s="5">
        <v>4</v>
      </c>
      <c r="B18" s="4">
        <v>1.4428240000000001</v>
      </c>
      <c r="C18" s="12">
        <v>6.1293610000000003</v>
      </c>
      <c r="D18" s="12">
        <v>12.541288</v>
      </c>
      <c r="F18" s="2">
        <v>8</v>
      </c>
      <c r="G18" s="3">
        <f>B15/B19</f>
        <v>13.530926900054418</v>
      </c>
      <c r="H18" s="3">
        <f>C15/C19</f>
        <v>13.394861934519041</v>
      </c>
      <c r="I18" s="3">
        <f>D15/D19</f>
        <v>13.54285571340786</v>
      </c>
      <c r="J18" s="1"/>
      <c r="K18" s="2">
        <v>8</v>
      </c>
      <c r="L18" s="3">
        <f>B15/(A19*B19*2)</f>
        <v>0.8456829312534011</v>
      </c>
      <c r="M18" s="3">
        <f>C15/(A19*C19*2)</f>
        <v>0.83717887090744003</v>
      </c>
      <c r="N18" s="3">
        <f>D15/(A19*D19*2)</f>
        <v>0.84642848208799126</v>
      </c>
    </row>
    <row r="19" spans="1:20" x14ac:dyDescent="0.2">
      <c r="A19" s="5">
        <v>8</v>
      </c>
      <c r="B19" s="12">
        <v>0.79938500000000001</v>
      </c>
      <c r="C19" s="12">
        <v>3.3701400000000001</v>
      </c>
      <c r="D19" s="12">
        <v>6.9357379999999997</v>
      </c>
    </row>
    <row r="21" spans="1:20" x14ac:dyDescent="0.2">
      <c r="Q21" s="19" t="s">
        <v>19</v>
      </c>
      <c r="R21" s="19"/>
      <c r="S21" s="19"/>
      <c r="T21" s="19"/>
    </row>
    <row r="22" spans="1:20" x14ac:dyDescent="0.2">
      <c r="F22" s="1"/>
      <c r="G22" s="1"/>
      <c r="H22" s="1"/>
      <c r="I22" s="1"/>
      <c r="Q22" s="2"/>
      <c r="R22" s="2" t="s">
        <v>0</v>
      </c>
      <c r="S22" s="2" t="s">
        <v>1</v>
      </c>
      <c r="T22" s="2" t="s">
        <v>2</v>
      </c>
    </row>
    <row r="23" spans="1:20" x14ac:dyDescent="0.2">
      <c r="A23" s="20" t="s">
        <v>5</v>
      </c>
      <c r="B23" s="20"/>
      <c r="C23" s="20"/>
      <c r="D23" s="20"/>
      <c r="F23" s="19" t="s">
        <v>18</v>
      </c>
      <c r="G23" s="19"/>
      <c r="H23" s="19"/>
      <c r="I23" s="19"/>
      <c r="J23" s="1"/>
      <c r="K23" s="19" t="s">
        <v>14</v>
      </c>
      <c r="L23" s="19"/>
      <c r="M23" s="19"/>
      <c r="N23" s="19"/>
      <c r="Q23" s="8" t="s">
        <v>21</v>
      </c>
      <c r="R23" s="3">
        <f>L8</f>
        <v>0.82757207615815809</v>
      </c>
      <c r="S23" s="3">
        <f t="shared" ref="S23:T23" si="0">M8</f>
        <v>0.96482013045235671</v>
      </c>
      <c r="T23" s="3">
        <f t="shared" si="0"/>
        <v>0.99384483984963856</v>
      </c>
    </row>
    <row r="24" spans="1:20" x14ac:dyDescent="0.2">
      <c r="A24" s="5" t="s">
        <v>10</v>
      </c>
      <c r="B24" s="6" t="s">
        <v>11</v>
      </c>
      <c r="C24" s="6" t="s">
        <v>8</v>
      </c>
      <c r="D24" s="6" t="s">
        <v>7</v>
      </c>
      <c r="F24" s="2"/>
      <c r="G24" s="2" t="s">
        <v>0</v>
      </c>
      <c r="H24" s="2" t="s">
        <v>1</v>
      </c>
      <c r="I24" s="2" t="s">
        <v>2</v>
      </c>
      <c r="J24" s="1"/>
      <c r="K24" s="2"/>
      <c r="L24" s="2" t="s">
        <v>0</v>
      </c>
      <c r="M24" s="2" t="s">
        <v>1</v>
      </c>
      <c r="N24" s="2" t="s">
        <v>2</v>
      </c>
      <c r="Q24" s="2" t="s">
        <v>20</v>
      </c>
      <c r="R24" s="3">
        <f>L17</f>
        <v>0.93708761428975396</v>
      </c>
      <c r="S24" s="3">
        <f t="shared" ref="S24:T24" si="1">M17</f>
        <v>0.92062125236219572</v>
      </c>
      <c r="T24" s="3">
        <f t="shared" si="1"/>
        <v>0.93620466853165318</v>
      </c>
    </row>
    <row r="25" spans="1:20" x14ac:dyDescent="0.2">
      <c r="A25" s="13" t="s">
        <v>4</v>
      </c>
      <c r="B25" s="15">
        <v>10.816420000000001</v>
      </c>
      <c r="C25" s="16">
        <v>45.142560000000003</v>
      </c>
      <c r="D25" s="16">
        <v>93.929698999999999</v>
      </c>
      <c r="F25" s="2">
        <v>1</v>
      </c>
      <c r="G25" s="3">
        <f>B25/B26</f>
        <v>3.8305921250673762</v>
      </c>
      <c r="H25" s="3">
        <f>C25/C26</f>
        <v>3.3867766999075632</v>
      </c>
      <c r="I25" s="3">
        <f>D25/D26</f>
        <v>3.0669598197263128</v>
      </c>
      <c r="J25" s="1"/>
      <c r="K25" s="2">
        <v>1</v>
      </c>
      <c r="L25" s="3">
        <f>B25/(A26*4*B26)</f>
        <v>0.95764803126684406</v>
      </c>
      <c r="M25" s="3">
        <f>C25/(A26*C26*4)</f>
        <v>0.84669417497689081</v>
      </c>
      <c r="N25" s="3">
        <f>D25/(A26*D26*4)</f>
        <v>0.7667399549315782</v>
      </c>
      <c r="Q25" s="2" t="s">
        <v>22</v>
      </c>
      <c r="R25" s="3">
        <f>L26</f>
        <v>0.95028989041868073</v>
      </c>
      <c r="S25" s="3">
        <f t="shared" ref="S25:T25" si="2">M26</f>
        <v>0.84406447284674802</v>
      </c>
      <c r="T25" s="3">
        <f t="shared" si="2"/>
        <v>0.71618938599811333</v>
      </c>
    </row>
    <row r="26" spans="1:20" x14ac:dyDescent="0.2">
      <c r="A26" s="5">
        <v>1</v>
      </c>
      <c r="B26" s="4">
        <v>2.8236940000000001</v>
      </c>
      <c r="C26" s="17">
        <v>13.329063</v>
      </c>
      <c r="D26" s="14">
        <v>30.626321999999998</v>
      </c>
      <c r="F26" s="2">
        <v>2</v>
      </c>
      <c r="G26" s="3">
        <f>B25/B27</f>
        <v>7.6023191233494458</v>
      </c>
      <c r="H26" s="3">
        <f>C25/C27</f>
        <v>6.7525157827739841</v>
      </c>
      <c r="I26" s="3">
        <f>D25/D27</f>
        <v>5.7295150879849066</v>
      </c>
      <c r="J26" s="1"/>
      <c r="K26" s="2">
        <v>2</v>
      </c>
      <c r="L26" s="3">
        <f>B25/(A27*4*B27)</f>
        <v>0.95028989041868073</v>
      </c>
      <c r="M26" s="3">
        <f>C25/(A27*C27*4)</f>
        <v>0.84406447284674802</v>
      </c>
      <c r="N26" s="3">
        <f>D25/(A27*4*D27)</f>
        <v>0.71618938599811333</v>
      </c>
      <c r="Q26" s="1"/>
      <c r="R26" s="7"/>
      <c r="S26" s="7"/>
      <c r="T26" s="7"/>
    </row>
    <row r="27" spans="1:20" x14ac:dyDescent="0.2">
      <c r="A27" s="5">
        <v>2</v>
      </c>
      <c r="B27" s="4">
        <v>1.422779</v>
      </c>
      <c r="C27" s="12">
        <v>6.685295</v>
      </c>
      <c r="D27" s="12">
        <v>16.394005</v>
      </c>
      <c r="F27" s="2">
        <v>4</v>
      </c>
      <c r="G27" s="3">
        <f>B25/B28</f>
        <v>15.069626046480524</v>
      </c>
      <c r="H27" s="3">
        <f>C25/C28</f>
        <v>13.255301599736672</v>
      </c>
      <c r="I27" s="3">
        <f>D25/D28</f>
        <v>12.471859091042473</v>
      </c>
      <c r="J27" s="1"/>
      <c r="K27" s="2">
        <v>4</v>
      </c>
      <c r="L27" s="3">
        <f>B25/(A28*B28*4)</f>
        <v>0.94185162790503274</v>
      </c>
      <c r="M27" s="3">
        <f>C25/(A28*C28*4)</f>
        <v>0.82845634998354201</v>
      </c>
      <c r="N27" s="3">
        <f>D25/(A28*D28*4)</f>
        <v>0.77949119319015459</v>
      </c>
    </row>
    <row r="28" spans="1:20" x14ac:dyDescent="0.2">
      <c r="A28" s="5">
        <v>4</v>
      </c>
      <c r="B28" s="18">
        <v>0.71776300000000004</v>
      </c>
      <c r="C28" s="18">
        <v>3.4056229999999998</v>
      </c>
      <c r="D28" s="18">
        <v>7.5313309999999998</v>
      </c>
      <c r="F28" s="2">
        <v>8</v>
      </c>
      <c r="G28" s="3">
        <f>B25/B29</f>
        <v>29.03791480645274</v>
      </c>
      <c r="H28" s="3">
        <f>C25/C29</f>
        <v>25.497644679913698</v>
      </c>
      <c r="I28" s="3">
        <f>D25/D29</f>
        <v>23.181442693429187</v>
      </c>
      <c r="J28" s="1"/>
      <c r="K28" s="2">
        <v>8</v>
      </c>
      <c r="L28" s="3">
        <f>B25/(A29*B29*4)</f>
        <v>0.90743483770164812</v>
      </c>
      <c r="M28" s="3">
        <f>C25/(A29*C29*4)</f>
        <v>0.79680139624730306</v>
      </c>
      <c r="N28" s="3">
        <f>D25/(A29*D29*4)</f>
        <v>0.72442008416966208</v>
      </c>
    </row>
    <row r="29" spans="1:20" x14ac:dyDescent="0.2">
      <c r="A29" s="5">
        <v>8</v>
      </c>
      <c r="B29" s="18">
        <v>0.37249300000000002</v>
      </c>
      <c r="C29" s="18">
        <v>1.7704599999999999</v>
      </c>
      <c r="D29" s="18">
        <v>4.0519350000000003</v>
      </c>
    </row>
    <row r="33" spans="6:15" x14ac:dyDescent="0.2">
      <c r="F33" s="19" t="s">
        <v>12</v>
      </c>
      <c r="G33" s="19"/>
      <c r="H33" s="19"/>
      <c r="I33" s="19"/>
      <c r="K33" s="20" t="s">
        <v>3</v>
      </c>
      <c r="L33" s="20"/>
      <c r="M33" s="20"/>
      <c r="N33" s="20"/>
    </row>
    <row r="34" spans="6:15" x14ac:dyDescent="0.2">
      <c r="F34" s="2"/>
      <c r="G34" s="2" t="s">
        <v>0</v>
      </c>
      <c r="H34" s="2" t="s">
        <v>1</v>
      </c>
      <c r="I34" s="2" t="s">
        <v>2</v>
      </c>
      <c r="K34" s="9"/>
      <c r="L34" s="10" t="s">
        <v>0</v>
      </c>
      <c r="M34" s="10" t="s">
        <v>1</v>
      </c>
      <c r="N34" s="10" t="s">
        <v>2</v>
      </c>
      <c r="O34" s="1"/>
    </row>
    <row r="35" spans="6:15" x14ac:dyDescent="0.2">
      <c r="F35" s="2">
        <v>256</v>
      </c>
      <c r="G35" s="2">
        <v>0.22889999999999999</v>
      </c>
      <c r="H35" s="2">
        <v>0.498</v>
      </c>
      <c r="I35" s="2">
        <v>0.82650000000000001</v>
      </c>
      <c r="K35" s="9">
        <v>256</v>
      </c>
      <c r="L35" s="11">
        <f>B5/G35</f>
        <v>47.253910004368727</v>
      </c>
      <c r="M35" s="11">
        <f>C5/H35</f>
        <v>90.647710843373503</v>
      </c>
      <c r="N35" s="11">
        <f>D5/I35</f>
        <v>113.64754869933454</v>
      </c>
      <c r="O35" s="1"/>
    </row>
    <row r="36" spans="6:15" x14ac:dyDescent="0.2">
      <c r="F36" s="2">
        <v>512</v>
      </c>
      <c r="G36" s="2">
        <v>0.2258</v>
      </c>
      <c r="H36" s="2">
        <v>0.50019999999999998</v>
      </c>
      <c r="I36" s="2">
        <v>0.82799999999999996</v>
      </c>
      <c r="K36" s="9">
        <v>512</v>
      </c>
      <c r="L36" s="11">
        <f>B25/G36</f>
        <v>47.902657218777684</v>
      </c>
      <c r="M36" s="11">
        <f>C5/H36</f>
        <v>90.249020391843274</v>
      </c>
      <c r="N36" s="11">
        <f>D5/I36</f>
        <v>113.44166545893721</v>
      </c>
      <c r="O36" s="1"/>
    </row>
    <row r="37" spans="6:15" x14ac:dyDescent="0.2">
      <c r="F37" s="2">
        <v>1024</v>
      </c>
      <c r="G37" s="2">
        <v>0.24840000000000001</v>
      </c>
      <c r="H37" s="2">
        <v>0.54090000000000005</v>
      </c>
      <c r="I37" s="2">
        <v>0.89749999999999996</v>
      </c>
      <c r="K37" s="9">
        <v>1024</v>
      </c>
      <c r="L37" s="11">
        <f>B5/G37</f>
        <v>43.544363929146542</v>
      </c>
      <c r="M37" s="11">
        <f>C5/H37</f>
        <v>83.458236272878537</v>
      </c>
      <c r="N37" s="11">
        <f>D5/I37</f>
        <v>104.65704623955432</v>
      </c>
      <c r="O37" s="1"/>
    </row>
    <row r="38" spans="6:15" x14ac:dyDescent="0.2">
      <c r="F38" s="1"/>
      <c r="G38" s="1"/>
      <c r="O38" s="1"/>
    </row>
    <row r="39" spans="6:15" x14ac:dyDescent="0.2">
      <c r="F39" s="1"/>
      <c r="G39" s="1"/>
      <c r="I39" s="1"/>
      <c r="O39" s="1"/>
    </row>
    <row r="40" spans="6:15" x14ac:dyDescent="0.2">
      <c r="F40" s="1"/>
      <c r="G40" s="1"/>
      <c r="H40" s="1"/>
      <c r="I40" s="1"/>
    </row>
    <row r="44" spans="6:15" x14ac:dyDescent="0.2">
      <c r="O44" s="1"/>
    </row>
    <row r="45" spans="6:15" x14ac:dyDescent="0.2">
      <c r="O45" s="1"/>
    </row>
    <row r="46" spans="6:15" x14ac:dyDescent="0.2">
      <c r="O46" s="1"/>
    </row>
    <row r="47" spans="6:15" x14ac:dyDescent="0.2">
      <c r="O47" s="1"/>
    </row>
    <row r="48" spans="6:15" x14ac:dyDescent="0.2">
      <c r="O48" s="1"/>
    </row>
    <row r="49" spans="15:15" x14ac:dyDescent="0.2">
      <c r="O49" s="1"/>
    </row>
    <row r="54" spans="15:15" x14ac:dyDescent="0.2">
      <c r="O54" s="1"/>
    </row>
    <row r="55" spans="15:15" x14ac:dyDescent="0.2">
      <c r="O55" s="1"/>
    </row>
    <row r="56" spans="15:15" x14ac:dyDescent="0.2">
      <c r="O56" s="1"/>
    </row>
    <row r="57" spans="15:15" x14ac:dyDescent="0.2">
      <c r="O57" s="1"/>
    </row>
    <row r="58" spans="15:15" x14ac:dyDescent="0.2">
      <c r="O58" s="1"/>
    </row>
    <row r="59" spans="15:15" x14ac:dyDescent="0.2">
      <c r="O59" s="1"/>
    </row>
    <row r="64" spans="15:15" x14ac:dyDescent="0.2">
      <c r="O64" s="1"/>
    </row>
    <row r="65" spans="15:15" x14ac:dyDescent="0.2">
      <c r="O65" s="1"/>
    </row>
    <row r="66" spans="15:15" x14ac:dyDescent="0.2">
      <c r="O66" s="1"/>
    </row>
    <row r="67" spans="15:15" x14ac:dyDescent="0.2">
      <c r="O67" s="1"/>
    </row>
    <row r="68" spans="15:15" x14ac:dyDescent="0.2">
      <c r="O68" s="1"/>
    </row>
    <row r="69" spans="15:15" x14ac:dyDescent="0.2">
      <c r="O69" s="1"/>
    </row>
  </sheetData>
  <mergeCells count="12">
    <mergeCell ref="A3:D3"/>
    <mergeCell ref="F3:I3"/>
    <mergeCell ref="K3:N3"/>
    <mergeCell ref="K13:N13"/>
    <mergeCell ref="F23:I23"/>
    <mergeCell ref="K23:N23"/>
    <mergeCell ref="F13:I13"/>
    <mergeCell ref="Q21:T21"/>
    <mergeCell ref="A13:D13"/>
    <mergeCell ref="A23:D23"/>
    <mergeCell ref="K33:N33"/>
    <mergeCell ref="F33:I3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Prisco</dc:creator>
  <cp:lastModifiedBy>Mattia Prisco</cp:lastModifiedBy>
  <dcterms:created xsi:type="dcterms:W3CDTF">2025-02-28T12:45:59Z</dcterms:created>
  <dcterms:modified xsi:type="dcterms:W3CDTF">2025-07-02T15:13:24Z</dcterms:modified>
</cp:coreProperties>
</file>